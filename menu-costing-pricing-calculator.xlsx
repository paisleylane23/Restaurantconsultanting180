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nu Item Costing" sheetId="1" state="visible" r:id="rId3"/>
    <sheet name="Break-Even Snapsho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<sst xmlns="http://schemas.openxmlformats.org/spreadsheetml/2006/main" count="25" uniqueCount="25">
  <si>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RESTAURANT CONSULTANTS 360 — MENU COSTING &amp; PRICING CALCULATOR</t>
  </si>
  <si>
    <t xml:space="preserve">Fill in the yellow cells for each dish. Cost %, margin, and suggested price calculate automatically.</t>
  </si>
  <si>
    <t xml:space="preserve">Dish Name</t>
  </si>
  <si>
    <t xml:space="preserve">Ingredient Cost ($)</t>
  </si>
  <si>
    <t xml:space="preserve">Target Food Cost %</t>
  </si>
  <si>
    <t xml:space="preserve">Suggested Menu Price ($)</t>
  </si>
  <si>
    <t xml:space="preserve">Actual Menu Price ($)</t>
  </si>
  <si>
    <t xml:space="preserve">Actual Food Cost %</t>
  </si>
  <si>
    <t xml:space="preserve">Gross Profit ($)</t>
  </si>
  <si>
    <t xml:space="preserve">Notes</t>
  </si>
  <si>
    <t xml:space="preserve">Example: Braised Short Rib</t>
  </si>
  <si>
    <t xml:space="preserve">Example row — edit or delete</t>
  </si>
  <si>
    <t xml:space="preserve">LEGEND</t>
  </si>
  <si>
    <t xml:space="preserve">Yellow cells = enter your numbers</t>
  </si>
  <si>
    <t xml:space="preserve">Target Food Cost % is typically 28%–35% depending on concept</t>
  </si>
  <si>
    <t xml:space="preserve">White cells calculate automatically — do not overwrite</t>
  </si>
  <si>
    <t xml:space="preserve">MONTHLY BREAK-EVEN SNAPSHOT</t>
  </si>
  <si>
    <t xml:space="preserve">Enter your monthly fixed costs and average check to estimate covers needed to break even.</t>
  </si>
  <si>
    <t xml:space="preserve">Monthly fixed costs (rent, insurance, base payroll, etc.)</t>
  </si>
  <si>
    <t xml:space="preserve">Average check per guest ($)</t>
  </si>
  <si>
    <t xml:space="preserve">Average variable cost % per guest (food + bev cost)</t>
  </si>
  <si>
    <t xml:space="preserve">Contribution margin per guest ($)</t>
  </si>
  <si>
    <t xml:space="preserve">Covers needed per month to break even</t>
  </si>
  <si>
    <t xml:space="preserve">Covers needed per day (30-day month)</t>
  </si>
  <si>
    <t xml:space="preserve">This is a simplified planning tool, not a substitute for a full financial model.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</si>
</sst>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%"/>
    <numFmt numFmtId="167" formatCode="0.0%"/>
    <numFmt numFmtId="168" formatCode="\$#,##0"/>
    <numFmt numFmtId="169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A323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101C2C"/>
      <name val="Arial"/>
      <family val="0"/>
      <charset val="1"/>
    </font>
    <font>
      <i val="true"/>
      <sz val="9"/>
      <color rgb="FF5A6472"/>
      <name val="Arial"/>
      <family val="0"/>
      <charset val="1"/>
    </font>
    <font>
      <b val="true"/>
      <sz val="10"/>
      <color rgb="FF101C2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01C2C"/>
        <bgColor rgb="FF2A323D"/>
      </patternFill>
    </fill>
    <fill>
      <patternFill patternType="solid">
        <fgColor rgb="FFB18A4B"/>
        <bgColor rgb="FF808080"/>
      </patternFill>
    </fill>
    <fill>
      <patternFill patternType="solid">
        <fgColor rgb="FFFFF9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4CB"/>
      </left>
      <right style="thin">
        <color rgb="FFD8D4CB"/>
      </right>
      <top style="thin">
        <color rgb="FFD8D4CB"/>
      </top>
      <bottom style="thin">
        <color rgb="FFD8D4C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8"/>
      <rgbColor rgb="FFCCFFFF"/>
      <rgbColor rgb="FF660066"/>
      <rgbColor rgb="FFFF8080"/>
      <rgbColor rgb="FF0066CC"/>
      <rgbColor rgb="FFD8D4C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B18A4B"/>
      <rgbColor rgb="FF003366"/>
      <rgbColor rgb="FF339966"/>
      <rgbColor rgb="FF101C2C"/>
      <rgbColor rgb="FF333300"/>
      <rgbColor rgb="FF993300"/>
      <rgbColor rgb="FF993366"/>
      <rgbColor rgb="FF333399"/>
      <rgbColor rgb="FF2A32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s">
        <v>10</v>
      </c>
      <c r="B5" s="6" t="n">
        <v>6.2</v>
      </c>
      <c r="C5" s="7" t="n">
        <v>0.3</v>
      </c>
      <c r="D5" s="8" t="n">
        <f aca="false">IFERROR(B5/C5,"")</f>
        <v>20.6666666666667</v>
      </c>
      <c r="E5" s="6" t="n">
        <v>24</v>
      </c>
      <c r="F5" s="9" t="n">
        <f aca="false">IFERROR(B5/E5,"")</f>
        <v>0.258333333333333</v>
      </c>
      <c r="G5" s="8" t="n">
        <f aca="false">IFERROR(E5-B5,"")</f>
        <v>17.8</v>
      </c>
      <c r="H5" s="5" t="s">
        <v>11</v>
      </c>
    </row>
    <row r="6" customFormat="false" ht="15" hidden="false" customHeight="false" outlineLevel="0" collapsed="false">
      <c r="A6" s="5"/>
      <c r="B6" s="6"/>
      <c r="C6" s="7" t="n">
        <v>0.3</v>
      </c>
      <c r="D6" s="8" t="n">
        <f aca="false">IFERROR(B6/C6,"")</f>
        <v>0</v>
      </c>
      <c r="E6" s="6"/>
      <c r="F6" s="9" t="str">
        <f aca="false">IFERROR(B6/E6,"")</f>
        <v/>
      </c>
      <c r="G6" s="8" t="n">
        <f aca="false">IFERROR(E6-B6,"")</f>
        <v>0</v>
      </c>
      <c r="H6" s="5"/>
    </row>
    <row r="7" customFormat="false" ht="15" hidden="false" customHeight="false" outlineLevel="0" collapsed="false">
      <c r="A7" s="5"/>
      <c r="B7" s="6"/>
      <c r="C7" s="7" t="n">
        <v>0.3</v>
      </c>
      <c r="D7" s="8" t="n">
        <f aca="false">IFERROR(B7/C7,"")</f>
        <v>0</v>
      </c>
      <c r="E7" s="6"/>
      <c r="F7" s="9" t="str">
        <f aca="false">IFERROR(B7/E7,"")</f>
        <v/>
      </c>
      <c r="G7" s="8" t="n">
        <f aca="false">IFERROR(E7-B7,"")</f>
        <v>0</v>
      </c>
      <c r="H7" s="5"/>
    </row>
    <row r="8" customFormat="false" ht="15" hidden="false" customHeight="false" outlineLevel="0" collapsed="false">
      <c r="A8" s="5"/>
      <c r="B8" s="6"/>
      <c r="C8" s="7" t="n">
        <v>0.3</v>
      </c>
      <c r="D8" s="8" t="n">
        <f aca="false">IFERROR(B8/C8,"")</f>
        <v>0</v>
      </c>
      <c r="E8" s="6"/>
      <c r="F8" s="9" t="str">
        <f aca="false">IFERROR(B8/E8,"")</f>
        <v/>
      </c>
      <c r="G8" s="8" t="n">
        <f aca="false">IFERROR(E8-B8,"")</f>
        <v>0</v>
      </c>
      <c r="H8" s="5"/>
    </row>
    <row r="9" customFormat="false" ht="15" hidden="false" customHeight="false" outlineLevel="0" collapsed="false">
      <c r="A9" s="5"/>
      <c r="B9" s="6"/>
      <c r="C9" s="7" t="n">
        <v>0.3</v>
      </c>
      <c r="D9" s="8" t="n">
        <f aca="false">IFERROR(B9/C9,"")</f>
        <v>0</v>
      </c>
      <c r="E9" s="6"/>
      <c r="F9" s="9" t="str">
        <f aca="false">IFERROR(B9/E9,"")</f>
        <v/>
      </c>
      <c r="G9" s="8" t="n">
        <f aca="false">IFERROR(E9-B9,"")</f>
        <v>0</v>
      </c>
      <c r="H9" s="5"/>
    </row>
    <row r="10" customFormat="false" ht="15" hidden="false" customHeight="false" outlineLevel="0" collapsed="false">
      <c r="A10" s="5"/>
      <c r="B10" s="6"/>
      <c r="C10" s="7" t="n">
        <v>0.3</v>
      </c>
      <c r="D10" s="8" t="n">
        <f aca="false">IFERROR(B10/C10,"")</f>
        <v>0</v>
      </c>
      <c r="E10" s="6"/>
      <c r="F10" s="9" t="str">
        <f aca="false">IFERROR(B10/E10,"")</f>
        <v/>
      </c>
      <c r="G10" s="8" t="n">
        <f aca="false">IFERROR(E10-B10,"")</f>
        <v>0</v>
      </c>
      <c r="H10" s="5"/>
    </row>
    <row r="11" customFormat="false" ht="15" hidden="false" customHeight="false" outlineLevel="0" collapsed="false">
      <c r="A11" s="5"/>
      <c r="B11" s="6"/>
      <c r="C11" s="7" t="n">
        <v>0.3</v>
      </c>
      <c r="D11" s="8" t="n">
        <f aca="false">IFERROR(B11/C11,"")</f>
        <v>0</v>
      </c>
      <c r="E11" s="6"/>
      <c r="F11" s="9" t="str">
        <f aca="false">IFERROR(B11/E11,"")</f>
        <v/>
      </c>
      <c r="G11" s="8" t="n">
        <f aca="false">IFERROR(E11-B11,"")</f>
        <v>0</v>
      </c>
      <c r="H11" s="5"/>
    </row>
    <row r="12" customFormat="false" ht="15" hidden="false" customHeight="false" outlineLevel="0" collapsed="false">
      <c r="A12" s="5"/>
      <c r="B12" s="6"/>
      <c r="C12" s="7" t="n">
        <v>0.3</v>
      </c>
      <c r="D12" s="8" t="n">
        <f aca="false">IFERROR(B12/C12,"")</f>
        <v>0</v>
      </c>
      <c r="E12" s="6"/>
      <c r="F12" s="9" t="str">
        <f aca="false">IFERROR(B12/E12,"")</f>
        <v/>
      </c>
      <c r="G12" s="8" t="n">
        <f aca="false">IFERROR(E12-B12,"")</f>
        <v>0</v>
      </c>
      <c r="H12" s="5"/>
    </row>
    <row r="13" customFormat="false" ht="15" hidden="false" customHeight="false" outlineLevel="0" collapsed="false">
      <c r="A13" s="5"/>
      <c r="B13" s="6"/>
      <c r="C13" s="7" t="n">
        <v>0.3</v>
      </c>
      <c r="D13" s="8" t="n">
        <f aca="false">IFERROR(B13/C13,"")</f>
        <v>0</v>
      </c>
      <c r="E13" s="6"/>
      <c r="F13" s="9" t="str">
        <f aca="false">IFERROR(B13/E13,"")</f>
        <v/>
      </c>
      <c r="G13" s="8" t="n">
        <f aca="false">IFERROR(E13-B13,"")</f>
        <v>0</v>
      </c>
      <c r="H13" s="5"/>
    </row>
    <row r="14" customFormat="false" ht="15" hidden="false" customHeight="false" outlineLevel="0" collapsed="false">
      <c r="A14" s="5"/>
      <c r="B14" s="6"/>
      <c r="C14" s="7" t="n">
        <v>0.3</v>
      </c>
      <c r="D14" s="8" t="n">
        <f aca="false">IFERROR(B14/C14,"")</f>
        <v>0</v>
      </c>
      <c r="E14" s="6"/>
      <c r="F14" s="9" t="str">
        <f aca="false">IFERROR(B14/E14,"")</f>
        <v/>
      </c>
      <c r="G14" s="8" t="n">
        <f aca="false">IFERROR(E14-B14,"")</f>
        <v>0</v>
      </c>
      <c r="H14" s="5"/>
    </row>
    <row r="15" customFormat="false" ht="15" hidden="false" customHeight="false" outlineLevel="0" collapsed="false">
      <c r="A15" s="5"/>
      <c r="B15" s="6"/>
      <c r="C15" s="7" t="n">
        <v>0.3</v>
      </c>
      <c r="D15" s="8" t="n">
        <f aca="false">IFERROR(B15/C15,"")</f>
        <v>0</v>
      </c>
      <c r="E15" s="6"/>
      <c r="F15" s="9" t="str">
        <f aca="false">IFERROR(B15/E15,"")</f>
        <v/>
      </c>
      <c r="G15" s="8" t="n">
        <f aca="false">IFERROR(E15-B15,"")</f>
        <v>0</v>
      </c>
      <c r="H15" s="5"/>
    </row>
    <row r="16" customFormat="false" ht="15" hidden="false" customHeight="false" outlineLevel="0" collapsed="false">
      <c r="A16" s="5"/>
      <c r="B16" s="6"/>
      <c r="C16" s="7" t="n">
        <v>0.3</v>
      </c>
      <c r="D16" s="8" t="n">
        <f aca="false">IFERROR(B16/C16,"")</f>
        <v>0</v>
      </c>
      <c r="E16" s="6"/>
      <c r="F16" s="9" t="str">
        <f aca="false">IFERROR(B16/E16,"")</f>
        <v/>
      </c>
      <c r="G16" s="8" t="n">
        <f aca="false">IFERROR(E16-B16,"")</f>
        <v>0</v>
      </c>
      <c r="H16" s="5"/>
    </row>
    <row r="17" customFormat="false" ht="15" hidden="false" customHeight="false" outlineLevel="0" collapsed="false">
      <c r="A17" s="5"/>
      <c r="B17" s="6"/>
      <c r="C17" s="7" t="n">
        <v>0.3</v>
      </c>
      <c r="D17" s="8" t="n">
        <f aca="false">IFERROR(B17/C17,"")</f>
        <v>0</v>
      </c>
      <c r="E17" s="6"/>
      <c r="F17" s="9" t="str">
        <f aca="false">IFERROR(B17/E17,"")</f>
        <v/>
      </c>
      <c r="G17" s="8" t="n">
        <f aca="false">IFERROR(E17-B17,"")</f>
        <v>0</v>
      </c>
      <c r="H17" s="5"/>
    </row>
    <row r="18" customFormat="false" ht="15" hidden="false" customHeight="false" outlineLevel="0" collapsed="false">
      <c r="A18" s="5"/>
      <c r="B18" s="6"/>
      <c r="C18" s="7" t="n">
        <v>0.3</v>
      </c>
      <c r="D18" s="8" t="n">
        <f aca="false">IFERROR(B18/C18,"")</f>
        <v>0</v>
      </c>
      <c r="E18" s="6"/>
      <c r="F18" s="9" t="str">
        <f aca="false">IFERROR(B18/E18,"")</f>
        <v/>
      </c>
      <c r="G18" s="8" t="n">
        <f aca="false">IFERROR(E18-B18,"")</f>
        <v>0</v>
      </c>
      <c r="H18" s="5"/>
    </row>
    <row r="19" customFormat="false" ht="15" hidden="false" customHeight="false" outlineLevel="0" collapsed="false">
      <c r="A19" s="5"/>
      <c r="B19" s="6"/>
      <c r="C19" s="7" t="n">
        <v>0.3</v>
      </c>
      <c r="D19" s="8" t="n">
        <f aca="false">IFERROR(B19/C19,"")</f>
        <v>0</v>
      </c>
      <c r="E19" s="6"/>
      <c r="F19" s="9" t="str">
        <f aca="false">IFERROR(B19/E19,"")</f>
        <v/>
      </c>
      <c r="G19" s="8" t="n">
        <f aca="false">IFERROR(E19-B19,"")</f>
        <v>0</v>
      </c>
      <c r="H19" s="5"/>
    </row>
    <row r="20" customFormat="false" ht="15" hidden="false" customHeight="false" outlineLevel="0" collapsed="false">
      <c r="A20" s="5"/>
      <c r="B20" s="6"/>
      <c r="C20" s="7" t="n">
        <v>0.3</v>
      </c>
      <c r="D20" s="8" t="n">
        <f aca="false">IFERROR(B20/C20,"")</f>
        <v>0</v>
      </c>
      <c r="E20" s="6"/>
      <c r="F20" s="9" t="str">
        <f aca="false">IFERROR(B20/E20,"")</f>
        <v/>
      </c>
      <c r="G20" s="8" t="n">
        <f aca="false">IFERROR(E20-B20,"")</f>
        <v>0</v>
      </c>
      <c r="H20" s="5"/>
    </row>
    <row r="21" customFormat="false" ht="15" hidden="false" customHeight="false" outlineLevel="0" collapsed="false">
      <c r="A21" s="5"/>
      <c r="B21" s="6"/>
      <c r="C21" s="7" t="n">
        <v>0.3</v>
      </c>
      <c r="D21" s="8" t="n">
        <f aca="false">IFERROR(B21/C21,"")</f>
        <v>0</v>
      </c>
      <c r="E21" s="6"/>
      <c r="F21" s="9" t="str">
        <f aca="false">IFERROR(B21/E21,"")</f>
        <v/>
      </c>
      <c r="G21" s="8" t="n">
        <f aca="false">IFERROR(E21-B21,"")</f>
        <v>0</v>
      </c>
      <c r="H21" s="5"/>
    </row>
    <row r="22" customFormat="false" ht="15" hidden="false" customHeight="false" outlineLevel="0" collapsed="false">
      <c r="A22" s="5"/>
      <c r="B22" s="6"/>
      <c r="C22" s="7" t="n">
        <v>0.3</v>
      </c>
      <c r="D22" s="8" t="n">
        <f aca="false">IFERROR(B22/C22,"")</f>
        <v>0</v>
      </c>
      <c r="E22" s="6"/>
      <c r="F22" s="9" t="str">
        <f aca="false">IFERROR(B22/E22,"")</f>
        <v/>
      </c>
      <c r="G22" s="8" t="n">
        <f aca="false">IFERROR(E22-B22,"")</f>
        <v>0</v>
      </c>
      <c r="H22" s="5"/>
    </row>
    <row r="23" customFormat="false" ht="15" hidden="false" customHeight="false" outlineLevel="0" collapsed="false">
      <c r="A23" s="5"/>
      <c r="B23" s="6"/>
      <c r="C23" s="7" t="n">
        <v>0.3</v>
      </c>
      <c r="D23" s="8" t="n">
        <f aca="false">IFERROR(B23/C23,"")</f>
        <v>0</v>
      </c>
      <c r="E23" s="6"/>
      <c r="F23" s="9" t="str">
        <f aca="false">IFERROR(B23/E23,"")</f>
        <v/>
      </c>
      <c r="G23" s="8" t="n">
        <f aca="false">IFERROR(E23-B23,"")</f>
        <v>0</v>
      </c>
      <c r="H23" s="5"/>
    </row>
    <row r="24" customFormat="false" ht="15" hidden="false" customHeight="false" outlineLevel="0" collapsed="false">
      <c r="A24" s="5"/>
      <c r="B24" s="6"/>
      <c r="C24" s="7" t="n">
        <v>0.3</v>
      </c>
      <c r="D24" s="8" t="n">
        <f aca="false">IFERROR(B24/C24,"")</f>
        <v>0</v>
      </c>
      <c r="E24" s="6"/>
      <c r="F24" s="9" t="str">
        <f aca="false">IFERROR(B24/E24,"")</f>
        <v/>
      </c>
      <c r="G24" s="8" t="n">
        <f aca="false">IFERROR(E24-B24,"")</f>
        <v>0</v>
      </c>
      <c r="H24" s="5"/>
    </row>
    <row r="27" customFormat="false" ht="15" hidden="false" customHeight="false" outlineLevel="0" collapsed="false">
      <c r="A27" s="10" t="s">
        <v>12</v>
      </c>
    </row>
    <row r="28" customFormat="false" ht="15" hidden="false" customHeight="false" outlineLevel="0" collapsed="false">
      <c r="A28" s="11" t="s">
        <v>13</v>
      </c>
    </row>
    <row r="29" customFormat="false" ht="15" hidden="false" customHeight="false" outlineLevel="0" collapsed="false">
      <c r="A29" s="11" t="s">
        <v>14</v>
      </c>
    </row>
    <row r="30" customFormat="false" ht="15" hidden="false" customHeight="false" outlineLevel="0" collapsed="false">
      <c r="A30" s="11" t="s">
        <v>15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40"/>
  </cols>
  <sheetData>
    <row r="1" customFormat="false" ht="27.75" hidden="false" customHeight="true" outlineLevel="0" collapsed="false">
      <c r="A1" s="12" t="s">
        <v>16</v>
      </c>
      <c r="B1" s="12"/>
      <c r="C1" s="12"/>
      <c r="D1" s="12"/>
    </row>
    <row r="2" customFormat="false" ht="19.5" hidden="false" customHeight="true" outlineLevel="0" collapsed="false">
      <c r="A2" s="13" t="s">
        <v>17</v>
      </c>
      <c r="B2" s="13"/>
      <c r="C2" s="13"/>
      <c r="D2" s="13"/>
    </row>
    <row r="4" customFormat="false" ht="15" hidden="false" customHeight="false" outlineLevel="0" collapsed="false">
      <c r="A4" s="5" t="s">
        <v>18</v>
      </c>
      <c r="B4" s="14" t="n">
        <v>18000</v>
      </c>
    </row>
    <row r="5" customFormat="false" ht="15" hidden="false" customHeight="false" outlineLevel="0" collapsed="false">
      <c r="A5" s="5" t="s">
        <v>19</v>
      </c>
      <c r="B5" s="6" t="n">
        <v>32</v>
      </c>
    </row>
    <row r="6" customFormat="false" ht="15" hidden="false" customHeight="false" outlineLevel="0" collapsed="false">
      <c r="A6" s="5" t="s">
        <v>20</v>
      </c>
      <c r="B6" s="7" t="n">
        <v>0.32</v>
      </c>
    </row>
    <row r="8" customFormat="false" ht="15" hidden="false" customHeight="false" outlineLevel="0" collapsed="false">
      <c r="A8" s="15" t="s">
        <v>21</v>
      </c>
      <c r="B8" s="8" t="n">
        <f aca="false">B5-(B5*B6)</f>
        <v>21.76</v>
      </c>
    </row>
    <row r="9" customFormat="false" ht="15" hidden="false" customHeight="false" outlineLevel="0" collapsed="false">
      <c r="A9" s="15" t="s">
        <v>22</v>
      </c>
      <c r="B9" s="16" t="n">
        <f aca="false">IFERROR(B4/B8,"")</f>
        <v>827.205882352941</v>
      </c>
    </row>
    <row r="10" customFormat="false" ht="15" hidden="false" customHeight="false" outlineLevel="0" collapsed="false">
      <c r="A10" s="15" t="s">
        <v>23</v>
      </c>
      <c r="B10" s="16" t="n">
        <f aca="false">IFERROR(B9/30,"")</f>
        <v>27.5735294117647</v>
      </c>
    </row>
    <row r="13" customFormat="false" ht="15" hidden="false" customHeight="false" outlineLevel="0" collapsed="false">
      <c r="A13" s="11" t="s">
        <v>24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2026-09-19T21:09:38Z</dcterms:created>
  <dc:creator>openpyxl</dc:creator>
  <dc:description/>
  <dc:language>en-US</dc:language>
  <cp:lastModifiedBy/>
  <dcterms:modified xsi:type="dcterms:W3CDTF">2026-09-19T21:09:38Z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